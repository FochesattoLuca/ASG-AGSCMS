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<sst xmlns="http://schemas.openxmlformats.org/spreadsheetml/2006/main" count="56" uniqueCount="31">
  <si>
    <t>Part</t>
  </si>
  <si>
    <t>Description</t>
  </si>
  <si>
    <t>Quantity</t>
  </si>
  <si>
    <t>Unit Cost (USD)</t>
  </si>
  <si>
    <t>Total Cost (USD)</t>
  </si>
  <si>
    <t>Supplier</t>
  </si>
  <si>
    <t>3-Pack 3-1/2 in. Satin Nickel Square Radius Squeak-Free Butt Door Hinge</t>
  </si>
  <si>
    <t>Assembly</t>
  </si>
  <si>
    <t>Home Depot</t>
  </si>
  <si>
    <t>1/4 in.-20 x 1/2 in. Stainless Steel Hex Bolt (5-Pack)</t>
  </si>
  <si>
    <t>1/4 in.-20 Stainless Cap Nuts (25-Pack)</t>
  </si>
  <si>
    <t>10 in. EPDM Rubber Strap</t>
  </si>
  <si>
    <t>Light-Duty Stainless Anchor Points 4-Pack</t>
  </si>
  <si>
    <t>IPS Weld-On 16 Acrylic Plastic Cement, 5 oz Tube</t>
  </si>
  <si>
    <t>Amazon</t>
  </si>
  <si>
    <t>MECCANIXITY 304 Stainless Steel Round Rods, 6mm x 350mm 
Solid Shaft Rods for DIY Craft Model Car Helicopter Airplane, Pack of 5</t>
  </si>
  <si>
    <t>uxcell 10pcs Set Screw Collars 6mm Bore Stainless Steel Shaft Collars, 12mm OD, 7mm Width, Landing Gear Stopper Wheel Collar</t>
  </si>
  <si>
    <t>PETG 3D Printer Filament 1.75mm, 1kg Spool (2.2lbs)</t>
  </si>
  <si>
    <t>Electronics Case</t>
  </si>
  <si>
    <t>3D Print (STL)</t>
  </si>
  <si>
    <t>STL</t>
  </si>
  <si>
    <t>Automated Feeding Device</t>
  </si>
  <si>
    <t>Automated Drinking Device</t>
  </si>
  <si>
    <t>?</t>
  </si>
  <si>
    <t>Front_1.4 - Acrylic Panels</t>
  </si>
  <si>
    <t>Structure (DXF)</t>
  </si>
  <si>
    <t>DXF</t>
  </si>
  <si>
    <t>Back_2.4 - Acrylic Panels</t>
  </si>
  <si>
    <t>Side_3.4 - Acrylic Panels</t>
  </si>
  <si>
    <t>Top_4.4 - Acrylic Panel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</si>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</sst>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9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u/>
      <sz val="10.0"/>
      <color theme="4"/>
      <name val="Roboto"/>
    </font>
    <font>
      <u/>
      <sz val="10.0"/>
      <color theme="4"/>
      <name val="Roboto"/>
    </font>
    <font>
      <u/>
      <sz val="10.0"/>
      <color theme="4"/>
      <name val="Roboto"/>
    </font>
    <font>
      <u/>
      <sz val="10.0"/>
      <color rgb="FF4A86E8"/>
      <name val="Roboto"/>
    </font>
    <font>
      <u/>
      <sz val="10.0"/>
      <color rgb="FF0000FF"/>
      <name val="Roboto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top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bottom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8" displayName="AGS_CAGE_BOM" name="AGS_CAGE_BOM" id="1">
  <tableColumns count="6">
    <tableColumn name="Part" id="1"/>
    <tableColumn name="Description" id="2"/>
    <tableColumn name="Quantity" id="3"/>
    <tableColumn name="Unit Cost (USD)" id="4"/>
    <tableColumn name="Total Cost (USD)" id="5"/>
    <tableColumn name="Supplier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depot.com/p/Everbilt-3-Pack-3-1-2-in-Satin-Nickel-Square-Radius-Squeak-Free-Butt-Door-Hinge-28646/314151195?MERCH=REC-_-pipinstock-_-331866003-_-12-_-n/a-_-n/a-_-n/a-_-n/a-_-n/a" TargetMode="External"/><Relationship Id="rId2" Type="http://schemas.openxmlformats.org/officeDocument/2006/relationships/hyperlink" Target="https://www.homedepot.com/p/Everbilt-1-4-in-20-x-1-2-in-Stainless-Steel-Hex-Bolt-5-Pack-812190/302007774" TargetMode="External"/><Relationship Id="rId3" Type="http://schemas.openxmlformats.org/officeDocument/2006/relationships/hyperlink" Target="https://www.homedepot.com/p/Everbilt-1-4-in-20-Stainless-Cap-Nuts-25-Pack-807632/204281757?MERCH=REC-_-brand_based_collection-_-317478962-_-0-_-n/a-_-n/a-_-n/a-_-n/a-_-n/a" TargetMode="External"/><Relationship Id="rId4" Type="http://schemas.openxmlformats.org/officeDocument/2006/relationships/hyperlink" Target="https://www.homedepot.com/p/Keeper-10-in-EPDM-Rubber-Strap-06209/203895861?MERCH=REC-_-rv_search_plp_rr-_-n/a-_-1-_-n/a-_-n/a-_-n/a-_-n/a-_-n/a" TargetMode="External"/><Relationship Id="rId10" Type="http://schemas.openxmlformats.org/officeDocument/2006/relationships/drawing" Target="../drawings/drawing1.xml"/><Relationship Id="rId12" Type="http://schemas.openxmlformats.org/officeDocument/2006/relationships/table" Target="../tables/table1.xml"/><Relationship Id="rId9" Type="http://schemas.openxmlformats.org/officeDocument/2006/relationships/hyperlink" Target="https://www.amazon.com/OVERTURE-Filament-Consumables-Dimensional-Accuracy/dp/B07PGYHYV8/ref=sr_1_2?crid=1QDIRN5H5G4ZT&amp;dib=eyJ2IjoiMSJ9.yf4QrGfdb01bS0owhB7XaDSh6yNdubuSQDKVCEel6a2HkVYRfX0kW_leMOafRK4GlNNwd7480AgRLaBWH610L2zds16Dt2uK3-yvEhGY3VA_CBwIBVcOOLtTDdUXIbNLr8DWKl8a_UwiIUaY4O9ciQIyhuBTT0iL4BXamRlY6SSjgGFBEelNGH2oy4k_1FKuHJbTJMYJBdjfWAaiw4gNZtP-BUAite9eiFCfD13b49g.iR823kCjSjKRtoWtVsdZ48sA5MmHlu8lcJ9U2HK1-Q4&amp;dib_tag=se&amp;keywords=petg%2Bfilament%2B1.75&amp;qid=1752804566&amp;sprefix=PETG%2Bfi%2Caps%2C331&amp;sr=8-2&amp;th=1" TargetMode="External"/><Relationship Id="rId5" Type="http://schemas.openxmlformats.org/officeDocument/2006/relationships/hyperlink" Target="https://www.homedepot.com/p/Husky-Light-Duty-Stainless-Anchor-Points-4-Pack-FH1121D/326369727" TargetMode="External"/><Relationship Id="rId6" Type="http://schemas.openxmlformats.org/officeDocument/2006/relationships/hyperlink" Target="https://www.amazon.com/Weld-Acrylic-Plastic-Cement-Tube/dp/B00R5NYM7M/ref=sr_1_4?crid=2YG36GY70T9XK&amp;dib=eyJ2IjoiMSJ9.WKCRTj14DMeAk3cDftuJswmsz6-KWE4GgESrifswVDQxYHzCUSFKL7f-SRZ43Jt2t9oYGjHDHCuWY-rFXBLmo5H3b0NqycWXbbA9vpu0r8tX6I5KulmCegq1zYtjpYrsThI56vSZy0EqX9AdKK630CG98UXnJbadxVItP2Tc8s17o7TcZwRC-ANpL54o6Bl3hfVgNSjqrmOSCUGE_oiQqA3Q8EeN4aeXeIbpDBHcxB4.8pxyeqgnfUHntC5IQeAGmk1OZIdbrSnyycF-ZB7uzj8&amp;dib_tag=se&amp;keywords=acrylic+cement&amp;qid=1753206443&amp;sprefix=acrylic+ceme%2Caps%2C208&amp;sr=8-4" TargetMode="External"/><Relationship Id="rId7" Type="http://schemas.openxmlformats.org/officeDocument/2006/relationships/hyperlink" Target="https://www.amazon.com/MECCANIXITY-Stainless-Steel-Helicopter-Airplane/dp/B0B4QX1L1Z/ref=pd_sbs_d_sccl_2_2/130-7901363-0471655?pd_rd_w=yG8Ti&amp;content-id=amzn1.sym.2cd14f8d-eb5c-4042-b934-4a05eafd2874&amp;pf_rd_p=2cd14f8d-eb5c-4042-b934-4a05eafd2874&amp;pf_rd_r=TM5XY127F9RJSH14YG0D&amp;pd_rd_wg=wrA92&amp;pd_rd_r=e3a4ea6e-b84a-440d-953e-e90b16af9f00&amp;pd_rd_i=B0B4QX1L1Z&amp;th=1" TargetMode="External"/><Relationship Id="rId8" Type="http://schemas.openxmlformats.org/officeDocument/2006/relationships/hyperlink" Target="https://www.amazon.com/uxcell-Collars-Stainless-Landing-Stopper/dp/B0CQ2SC2N3/ref=mp_s_a_1_1_sspa?crid=ZKFZUVFWO57N&amp;dib=eyJ2IjoiMSJ9.aVfqjVGg2Yxgy4fM2TIzSzRh2Pikay_cfRNYOdflpVBdQMYe5JxszS8PBzTdE4J8TALwyltYdl9JqIiczyjVvQxcR2OWko86dwZAVz2zmbn2H9vHJW85ITABrbYOBext7ARFGJ00bfNDLZFpv_lqUjkSs6h-SQZpw57iM6DEa5s_S5xlmm5dQ9D3wYdh6aneWQWajp6Qtdv7VUfsO57G4w.bOiJrzTIGNXgialP7NeQSj6sS8Hv6arkfpYIzMzaENE&amp;dib_tag=se&amp;keywords=Set+Screw+Collars+6mm&amp;qid=1753817886&amp;sprefix=set+screw+collars+6mm%2Caps%2C188&amp;sr=8-1-spons&amp;sp_csd=d2lkZ2V0TmFtZT1zcF9waG9uZV9zZWFyY2hfYXRm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5.0"/>
    <col customWidth="1" min="2" max="2" width="38.63"/>
    <col customWidth="1" min="4" max="4" width="15.63"/>
    <col customWidth="1" min="5" max="5" width="13.3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</row>
    <row r="2" ht="34.5" customHeight="1">
      <c r="A2" s="4" t="s">
        <v>6</v>
      </c>
      <c r="B2" s="5" t="s">
        <v>7</v>
      </c>
      <c r="C2" s="4">
        <v>1.0</v>
      </c>
      <c r="D2" s="6">
        <v>12.02</v>
      </c>
      <c r="E2" s="6">
        <f t="shared" ref="E2:E17" si="1">C2*D2</f>
        <v>12.02</v>
      </c>
      <c r="F2" s="7" t="s">
        <v>8</v>
      </c>
      <c r="G2" s="8"/>
      <c r="H2" s="9"/>
    </row>
    <row r="3" ht="22.5" customHeight="1">
      <c r="A3" s="10" t="s">
        <v>9</v>
      </c>
      <c r="B3" s="5" t="s">
        <v>7</v>
      </c>
      <c r="C3" s="10">
        <v>3.0</v>
      </c>
      <c r="D3" s="11">
        <v>1.96</v>
      </c>
      <c r="E3" s="6">
        <f t="shared" si="1"/>
        <v>5.88</v>
      </c>
      <c r="F3" s="12" t="s">
        <v>8</v>
      </c>
      <c r="G3" s="9"/>
      <c r="H3" s="13"/>
    </row>
    <row r="4" ht="25.5" customHeight="1">
      <c r="A4" s="5" t="s">
        <v>10</v>
      </c>
      <c r="B4" s="5" t="s">
        <v>7</v>
      </c>
      <c r="C4" s="5">
        <v>1.0</v>
      </c>
      <c r="D4" s="14">
        <v>7.56</v>
      </c>
      <c r="E4" s="6">
        <f t="shared" si="1"/>
        <v>7.56</v>
      </c>
      <c r="F4" s="15" t="s">
        <v>8</v>
      </c>
      <c r="G4" s="9"/>
      <c r="H4" s="9"/>
    </row>
    <row r="5" ht="24.75" customHeight="1">
      <c r="A5" s="10" t="s">
        <v>11</v>
      </c>
      <c r="B5" s="5" t="s">
        <v>7</v>
      </c>
      <c r="C5" s="10">
        <v>2.0</v>
      </c>
      <c r="D5" s="11">
        <v>1.84</v>
      </c>
      <c r="E5" s="6">
        <f t="shared" si="1"/>
        <v>3.68</v>
      </c>
      <c r="F5" s="12" t="s">
        <v>8</v>
      </c>
      <c r="G5" s="9"/>
      <c r="H5" s="9"/>
    </row>
    <row r="6" ht="28.5" customHeight="1">
      <c r="A6" s="10" t="s">
        <v>12</v>
      </c>
      <c r="B6" s="5" t="s">
        <v>7</v>
      </c>
      <c r="C6" s="10">
        <v>1.0</v>
      </c>
      <c r="D6" s="11">
        <v>7.95</v>
      </c>
      <c r="E6" s="6">
        <f t="shared" si="1"/>
        <v>7.95</v>
      </c>
      <c r="F6" s="12" t="s">
        <v>8</v>
      </c>
      <c r="G6" s="9"/>
      <c r="H6" s="9"/>
    </row>
    <row r="7" ht="38.25" customHeight="1">
      <c r="A7" s="5" t="s">
        <v>13</v>
      </c>
      <c r="B7" s="5" t="s">
        <v>7</v>
      </c>
      <c r="C7" s="5">
        <v>2.0</v>
      </c>
      <c r="D7" s="14">
        <v>15.89</v>
      </c>
      <c r="E7" s="6">
        <f t="shared" si="1"/>
        <v>31.78</v>
      </c>
      <c r="F7" s="16" t="s">
        <v>14</v>
      </c>
    </row>
    <row r="8" ht="46.5" customHeight="1">
      <c r="A8" s="10" t="s">
        <v>15</v>
      </c>
      <c r="B8" s="5" t="s">
        <v>7</v>
      </c>
      <c r="C8" s="10">
        <v>4.0</v>
      </c>
      <c r="D8" s="11">
        <v>13.29</v>
      </c>
      <c r="E8" s="6">
        <f t="shared" si="1"/>
        <v>53.16</v>
      </c>
      <c r="F8" s="12" t="s">
        <v>14</v>
      </c>
    </row>
    <row r="9" ht="48.75" customHeight="1">
      <c r="A9" s="5" t="s">
        <v>16</v>
      </c>
      <c r="B9" s="5" t="s">
        <v>7</v>
      </c>
      <c r="C9" s="10">
        <v>4.0</v>
      </c>
      <c r="D9" s="11">
        <v>8.49</v>
      </c>
      <c r="E9" s="6">
        <f t="shared" si="1"/>
        <v>33.96</v>
      </c>
      <c r="F9" s="17" t="s">
        <v>14</v>
      </c>
    </row>
    <row r="10" ht="27.0" customHeight="1">
      <c r="A10" s="10" t="s">
        <v>17</v>
      </c>
      <c r="B10" s="5" t="s">
        <v>7</v>
      </c>
      <c r="C10" s="10">
        <v>2.0</v>
      </c>
      <c r="D10" s="18">
        <v>13.49</v>
      </c>
      <c r="E10" s="6">
        <f t="shared" si="1"/>
        <v>26.98</v>
      </c>
      <c r="F10" s="12" t="s">
        <v>14</v>
      </c>
    </row>
    <row r="11" ht="27.0" customHeight="1">
      <c r="A11" s="10" t="s">
        <v>18</v>
      </c>
      <c r="B11" s="5" t="s">
        <v>19</v>
      </c>
      <c r="C11" s="10">
        <v>2.0</v>
      </c>
      <c r="D11" s="18"/>
      <c r="E11" s="6">
        <f t="shared" si="1"/>
        <v>0</v>
      </c>
      <c r="F11" s="10" t="s">
        <v>20</v>
      </c>
    </row>
    <row r="12" ht="28.5" customHeight="1">
      <c r="A12" s="10" t="s">
        <v>21</v>
      </c>
      <c r="B12" s="5" t="s">
        <v>19</v>
      </c>
      <c r="C12" s="10">
        <v>4.0</v>
      </c>
      <c r="D12" s="18"/>
      <c r="E12" s="6">
        <f t="shared" si="1"/>
        <v>0</v>
      </c>
      <c r="F12" s="10" t="s">
        <v>20</v>
      </c>
    </row>
    <row r="13" ht="24.0" customHeight="1">
      <c r="A13" s="10" t="s">
        <v>22</v>
      </c>
      <c r="B13" s="5" t="s">
        <v>19</v>
      </c>
      <c r="C13" s="10" t="s">
        <v>23</v>
      </c>
      <c r="D13" s="18"/>
      <c r="E13" s="6" t="str">
        <f t="shared" si="1"/>
        <v>#VALUE!</v>
      </c>
      <c r="F13" s="10" t="s">
        <v>20</v>
      </c>
    </row>
    <row r="14" ht="30.0" customHeight="1">
      <c r="A14" s="10" t="s">
        <v>24</v>
      </c>
      <c r="B14" s="10" t="s">
        <v>25</v>
      </c>
      <c r="C14" s="10">
        <v>1.0</v>
      </c>
      <c r="D14" s="18"/>
      <c r="E14" s="6">
        <f t="shared" si="1"/>
        <v>0</v>
      </c>
      <c r="F14" s="10" t="s">
        <v>26</v>
      </c>
    </row>
    <row r="15" ht="26.25" customHeight="1">
      <c r="A15" s="10" t="s">
        <v>27</v>
      </c>
      <c r="B15" s="10" t="s">
        <v>25</v>
      </c>
      <c r="C15" s="10">
        <v>1.0</v>
      </c>
      <c r="D15" s="18"/>
      <c r="E15" s="6">
        <f t="shared" si="1"/>
        <v>0</v>
      </c>
      <c r="F15" s="10" t="s">
        <v>26</v>
      </c>
    </row>
    <row r="16" ht="26.25" customHeight="1">
      <c r="A16" s="10" t="s">
        <v>28</v>
      </c>
      <c r="B16" s="10" t="s">
        <v>25</v>
      </c>
      <c r="C16" s="10">
        <v>1.0</v>
      </c>
      <c r="D16" s="18"/>
      <c r="E16" s="6">
        <f t="shared" si="1"/>
        <v>0</v>
      </c>
      <c r="F16" s="10" t="s">
        <v>26</v>
      </c>
    </row>
    <row r="17" ht="27.75" customHeight="1">
      <c r="A17" s="10" t="s">
        <v>29</v>
      </c>
      <c r="B17" s="10" t="s">
        <v>25</v>
      </c>
      <c r="C17" s="10">
        <v>1.0</v>
      </c>
      <c r="D17" s="18"/>
      <c r="E17" s="6">
        <f t="shared" si="1"/>
        <v>0</v>
      </c>
      <c r="F17" s="10" t="s">
        <v>26</v>
      </c>
    </row>
    <row r="18" ht="28.5" customHeight="1">
      <c r="A18" s="10" t="s">
        <v>30</v>
      </c>
      <c r="B18" s="19"/>
      <c r="C18" s="19"/>
      <c r="D18" s="20"/>
      <c r="E18" s="18" t="str">
        <f>SUM(E1:E17)</f>
        <v>#VALUE!</v>
      </c>
      <c r="F18" s="19"/>
    </row>
    <row r="19">
      <c r="B19" s="21"/>
      <c r="C19" s="21"/>
      <c r="D19" s="21"/>
      <c r="E19" s="21"/>
      <c r="F19" s="21"/>
    </row>
  </sheetData>
  <dataValidations>
    <dataValidation type="custom" allowBlank="1" showDropDown="1" sqref="D2:E18">
      <formula1>AND(ISNUMBER(D2),(NOT(OR(NOT(ISERROR(DATEVALUE(D2))), AND(ISNUMBER(D2), LEFT(CELL("format", D2))="D")))))</formula1>
    </dataValidation>
  </dataValidations>
  <hyperlinks>
    <hyperlink r:id="rId1" location="overlay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</hyperlinks>
  <drawing r:id="rId10"/>
  <tableParts count="1">
    <tablePart r:id="rId12"/>
  </tableParts>
</worksheet>
</file>